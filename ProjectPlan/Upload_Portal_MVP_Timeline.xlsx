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gin\Claude\Projects\Portal\"/>
    </mc:Choice>
  </mc:AlternateContent>
  <xr:revisionPtr revIDLastSave="0" documentId="8_{21868281-F8C2-4D33-AAF3-297C9F4500E2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chedul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7" i="1" l="1"/>
  <c r="P27" i="1"/>
  <c r="O27" i="1"/>
  <c r="N27" i="1"/>
  <c r="M27" i="1"/>
  <c r="L27" i="1"/>
  <c r="K27" i="1"/>
  <c r="J27" i="1"/>
  <c r="I27" i="1"/>
  <c r="G27" i="1"/>
  <c r="Q26" i="1"/>
  <c r="P26" i="1"/>
  <c r="O26" i="1"/>
  <c r="N26" i="1"/>
  <c r="M26" i="1"/>
  <c r="L26" i="1"/>
  <c r="K26" i="1"/>
  <c r="J26" i="1"/>
  <c r="I26" i="1"/>
  <c r="G26" i="1"/>
  <c r="Q25" i="1"/>
  <c r="P25" i="1"/>
  <c r="O25" i="1"/>
  <c r="N25" i="1"/>
  <c r="M25" i="1"/>
  <c r="L25" i="1"/>
  <c r="K25" i="1"/>
  <c r="J25" i="1"/>
  <c r="I25" i="1"/>
  <c r="G25" i="1"/>
  <c r="Q24" i="1"/>
  <c r="P24" i="1"/>
  <c r="O24" i="1"/>
  <c r="N24" i="1"/>
  <c r="M24" i="1"/>
  <c r="L24" i="1"/>
  <c r="K24" i="1"/>
  <c r="J24" i="1"/>
  <c r="I24" i="1"/>
  <c r="G24" i="1"/>
  <c r="Q23" i="1"/>
  <c r="P23" i="1"/>
  <c r="O23" i="1"/>
  <c r="N23" i="1"/>
  <c r="M23" i="1"/>
  <c r="L23" i="1"/>
  <c r="K23" i="1"/>
  <c r="J23" i="1"/>
  <c r="I23" i="1"/>
  <c r="G23" i="1"/>
  <c r="Q22" i="1"/>
  <c r="P22" i="1"/>
  <c r="O22" i="1"/>
  <c r="N22" i="1"/>
  <c r="M22" i="1"/>
  <c r="L22" i="1"/>
  <c r="K22" i="1"/>
  <c r="J22" i="1"/>
  <c r="I22" i="1"/>
  <c r="G22" i="1"/>
  <c r="Q21" i="1"/>
  <c r="P21" i="1"/>
  <c r="O21" i="1"/>
  <c r="N21" i="1"/>
  <c r="M21" i="1"/>
  <c r="L21" i="1"/>
  <c r="K21" i="1"/>
  <c r="J21" i="1"/>
  <c r="I21" i="1"/>
  <c r="G21" i="1"/>
  <c r="Q20" i="1"/>
  <c r="P20" i="1"/>
  <c r="O20" i="1"/>
  <c r="N20" i="1"/>
  <c r="M20" i="1"/>
  <c r="L20" i="1"/>
  <c r="K20" i="1"/>
  <c r="J20" i="1"/>
  <c r="I20" i="1"/>
  <c r="G20" i="1"/>
  <c r="Q19" i="1"/>
  <c r="P19" i="1"/>
  <c r="O19" i="1"/>
  <c r="N19" i="1"/>
  <c r="M19" i="1"/>
  <c r="L19" i="1"/>
  <c r="K19" i="1"/>
  <c r="J19" i="1"/>
  <c r="I19" i="1"/>
  <c r="G19" i="1"/>
  <c r="Q18" i="1"/>
  <c r="P18" i="1"/>
  <c r="O18" i="1"/>
  <c r="N18" i="1"/>
  <c r="M18" i="1"/>
  <c r="L18" i="1"/>
  <c r="K18" i="1"/>
  <c r="J18" i="1"/>
  <c r="I18" i="1"/>
  <c r="G18" i="1"/>
  <c r="Q17" i="1"/>
  <c r="P17" i="1"/>
  <c r="O17" i="1"/>
  <c r="N17" i="1"/>
  <c r="M17" i="1"/>
  <c r="L17" i="1"/>
  <c r="K17" i="1"/>
  <c r="J17" i="1"/>
  <c r="I17" i="1"/>
  <c r="G17" i="1"/>
  <c r="Q16" i="1"/>
  <c r="P16" i="1"/>
  <c r="O16" i="1"/>
  <c r="N16" i="1"/>
  <c r="M16" i="1"/>
  <c r="L16" i="1"/>
  <c r="K16" i="1"/>
  <c r="J16" i="1"/>
  <c r="I16" i="1"/>
  <c r="G16" i="1"/>
  <c r="Q15" i="1"/>
  <c r="P15" i="1"/>
  <c r="O15" i="1"/>
  <c r="N15" i="1"/>
  <c r="M15" i="1"/>
  <c r="L15" i="1"/>
  <c r="K15" i="1"/>
  <c r="J15" i="1"/>
  <c r="I15" i="1"/>
  <c r="G15" i="1"/>
  <c r="Q14" i="1"/>
  <c r="P14" i="1"/>
  <c r="O14" i="1"/>
  <c r="N14" i="1"/>
  <c r="M14" i="1"/>
  <c r="L14" i="1"/>
  <c r="K14" i="1"/>
  <c r="J14" i="1"/>
  <c r="I14" i="1"/>
  <c r="G14" i="1"/>
  <c r="Q13" i="1"/>
  <c r="P13" i="1"/>
  <c r="O13" i="1"/>
  <c r="N13" i="1"/>
  <c r="M13" i="1"/>
  <c r="L13" i="1"/>
  <c r="K13" i="1"/>
  <c r="J13" i="1"/>
  <c r="I13" i="1"/>
  <c r="G13" i="1"/>
  <c r="Q12" i="1"/>
  <c r="P12" i="1"/>
  <c r="O12" i="1"/>
  <c r="N12" i="1"/>
  <c r="M12" i="1"/>
  <c r="L12" i="1"/>
  <c r="K12" i="1"/>
  <c r="J12" i="1"/>
  <c r="I12" i="1"/>
  <c r="G12" i="1"/>
  <c r="Q11" i="1"/>
  <c r="P11" i="1"/>
  <c r="O11" i="1"/>
  <c r="N11" i="1"/>
  <c r="M11" i="1"/>
  <c r="L11" i="1"/>
  <c r="K11" i="1"/>
  <c r="J11" i="1"/>
  <c r="I11" i="1"/>
  <c r="G11" i="1"/>
  <c r="Q10" i="1"/>
  <c r="P10" i="1"/>
  <c r="O10" i="1"/>
  <c r="N10" i="1"/>
  <c r="M10" i="1"/>
  <c r="L10" i="1"/>
  <c r="K10" i="1"/>
  <c r="J10" i="1"/>
  <c r="I10" i="1"/>
  <c r="G10" i="1"/>
  <c r="Q9" i="1"/>
  <c r="P9" i="1"/>
  <c r="O9" i="1"/>
  <c r="N9" i="1"/>
  <c r="M9" i="1"/>
  <c r="L9" i="1"/>
  <c r="K9" i="1"/>
  <c r="J9" i="1"/>
  <c r="I9" i="1"/>
  <c r="G9" i="1"/>
  <c r="Q8" i="1"/>
  <c r="P8" i="1"/>
  <c r="O8" i="1"/>
  <c r="N8" i="1"/>
  <c r="M8" i="1"/>
  <c r="L8" i="1"/>
  <c r="K8" i="1"/>
  <c r="J8" i="1"/>
  <c r="I8" i="1"/>
  <c r="G8" i="1"/>
  <c r="Q7" i="1"/>
  <c r="P7" i="1"/>
  <c r="O7" i="1"/>
  <c r="N7" i="1"/>
  <c r="M7" i="1"/>
  <c r="L7" i="1"/>
  <c r="K7" i="1"/>
  <c r="J7" i="1"/>
  <c r="I7" i="1"/>
  <c r="G7" i="1"/>
  <c r="Q6" i="1"/>
  <c r="P6" i="1"/>
  <c r="O6" i="1"/>
  <c r="N6" i="1"/>
  <c r="M6" i="1"/>
  <c r="L6" i="1"/>
  <c r="K6" i="1"/>
  <c r="J6" i="1"/>
  <c r="I6" i="1"/>
  <c r="G6" i="1"/>
  <c r="Q5" i="1"/>
  <c r="P5" i="1"/>
  <c r="O5" i="1"/>
  <c r="N5" i="1"/>
  <c r="M5" i="1"/>
  <c r="L5" i="1"/>
  <c r="K5" i="1"/>
  <c r="J5" i="1"/>
  <c r="I5" i="1"/>
  <c r="G5" i="1"/>
</calcChain>
</file>

<file path=xl/sharedStrings.xml><?xml version="1.0" encoding="utf-8"?>
<sst xmlns="http://schemas.openxmlformats.org/spreadsheetml/2006/main" count="113" uniqueCount="73">
  <si>
    <t>AI Upload Portal — MVP Schedule (Jun 15 – Aug 14, 2026)</t>
  </si>
  <si>
    <t>ID</t>
  </si>
  <si>
    <t>Phase</t>
  </si>
  <si>
    <t>Task</t>
  </si>
  <si>
    <t>Owner</t>
  </si>
  <si>
    <t>Start</t>
  </si>
  <si>
    <t>End</t>
  </si>
  <si>
    <t>Workdays</t>
  </si>
  <si>
    <t>Gate</t>
  </si>
  <si>
    <t>1</t>
  </si>
  <si>
    <t>0. Spec &amp; Workflows</t>
  </si>
  <si>
    <t>Kickoff: confirm MVP scope cut-list</t>
  </si>
  <si>
    <t>Scott + Praveer</t>
  </si>
  <si>
    <t>2</t>
  </si>
  <si>
    <t>Data spec: valid submission definition (CAD formats, PO/XLS schema, validation rules)</t>
  </si>
  <si>
    <t>Scott</t>
  </si>
  <si>
    <t>3</t>
  </si>
  <si>
    <t>Paper workflow mockups</t>
  </si>
  <si>
    <t>Praveer</t>
  </si>
  <si>
    <t>G0</t>
  </si>
  <si>
    <t>GATE 0: Data spec &amp; workflows approved (Scott)</t>
  </si>
  <si>
    <t>◆</t>
  </si>
  <si>
    <t>4</t>
  </si>
  <si>
    <t>1. Mock UI &amp; Approval</t>
  </si>
  <si>
    <t>5</t>
  </si>
  <si>
    <t>6</t>
  </si>
  <si>
    <t>7</t>
  </si>
  <si>
    <t>Revise mock from consolidated feedback (single round)</t>
  </si>
  <si>
    <t>G1</t>
  </si>
  <si>
    <t>GATE 1: Design sign-off (Hamish) - build starts only after</t>
  </si>
  <si>
    <t>Hamish</t>
  </si>
  <si>
    <t>8</t>
  </si>
  <si>
    <t>2. Core Build</t>
  </si>
  <si>
    <t>Scaffolding, hosting, invite-link auth</t>
  </si>
  <si>
    <t>9</t>
  </si>
  <si>
    <t>10</t>
  </si>
  <si>
    <t>Google Drive integration (folder structure, naming, metadata log)</t>
  </si>
  <si>
    <t>11</t>
  </si>
  <si>
    <t>Deterministic validation (required files, CAD format, XLS schema)</t>
  </si>
  <si>
    <t>G2</t>
  </si>
  <si>
    <t>GATE 2: End-to-end upload-to-Drive demo</t>
  </si>
  <si>
    <t>12</t>
  </si>
  <si>
    <t>3. AI Guidance</t>
  </si>
  <si>
    <t>AI guidance layer (explain failures, answer format questions, progress checklist)</t>
  </si>
  <si>
    <t>13</t>
  </si>
  <si>
    <t>Internal notifications (submission status emails)</t>
  </si>
  <si>
    <t>14</t>
  </si>
  <si>
    <t>Internal E2E test with real cut plan data</t>
  </si>
  <si>
    <t>G3</t>
  </si>
  <si>
    <t>GATE 3: Feature-complete demo (Hamish)</t>
  </si>
  <si>
    <t>15</t>
  </si>
  <si>
    <t>4. Harden &amp; Pilot</t>
  </si>
  <si>
    <t>Bug fixes + security/access review (client IP protection)</t>
  </si>
  <si>
    <t>16</t>
  </si>
  <si>
    <t>Friendly prospect pilot run</t>
  </si>
  <si>
    <t>17</t>
  </si>
  <si>
    <t>Pilot fixes + runbook/docs</t>
  </si>
  <si>
    <t>18</t>
  </si>
  <si>
    <t>Contingency buffer</t>
  </si>
  <si>
    <t>G4</t>
  </si>
  <si>
    <t>GATE 4: MVP LAUNCH</t>
  </si>
  <si>
    <t>Key risks:</t>
  </si>
  <si>
    <t>1. Stakeholder feedback loop slips past Jul 2 — every day of slip pushes launch. Book Hamish's demo (Jun 29) today; one consolidated feedback round only.</t>
  </si>
  <si>
    <t>2. Data spec ambiguity — if 'valid submission' isn't machine-checkable by Gate 0, the AI guidance layer has nothing to enforce.</t>
  </si>
  <si>
    <t>3. AI scope creep — MVP: deterministic checks + AI explanations. Not AI parsing of CAD geometry.</t>
  </si>
  <si>
    <t>4. Real test data — source 2-3 genuine cut plan packages (CAD + PO) from existing clients by mid-July for the E2E test.</t>
  </si>
  <si>
    <t>5. Client IP — prospects upload proprietary CAD designs; Drive access controls and a data handling note are MVP requirements, not nice-to-haves.</t>
  </si>
  <si>
    <t>Build mock UI</t>
  </si>
  <si>
    <t>Internal review of mock</t>
  </si>
  <si>
    <t>Hamish &amp; stakeholder review (book this meeting NOW)</t>
  </si>
  <si>
    <t>Multi-file upload flow</t>
  </si>
  <si>
    <t>Praveer/Steve</t>
  </si>
  <si>
    <t>Deadline: Aug 15 (Sat) → effective ship date Fri Aug 14. Resources: Praveer (80%) + Scott (support).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</si>
</sst>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ddd\ m/d"/>
  </numFmts>
  <fonts count="13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b/>
      <sz val="11"/>
      <color rgb="FF4472C4"/>
      <name val="Arial"/>
      <charset val="1"/>
    </font>
    <font>
      <b/>
      <sz val="10"/>
      <name val="Arial"/>
      <charset val="1"/>
    </font>
    <font>
      <b/>
      <sz val="11"/>
      <color rgb="FFED7D31"/>
      <name val="Arial"/>
      <charset val="1"/>
    </font>
    <font>
      <b/>
      <sz val="11"/>
      <color rgb="FF70AD47"/>
      <name val="Arial"/>
      <charset val="1"/>
    </font>
    <font>
      <b/>
      <sz val="11"/>
      <color rgb="FF7030A0"/>
      <name val="Arial"/>
      <charset val="1"/>
    </font>
    <font>
      <b/>
      <sz val="11"/>
      <color rgb="FFC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/>
    </xf>
    <xf numFmtId="0" fontId="5" fillId="0" borderId="1" xfId="0" applyFont="1" applyBorder="1"/>
    <xf numFmtId="165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3" borderId="1" xfId="0" applyFont="1" applyFill="1" applyBorder="1"/>
    <xf numFmtId="165" fontId="8" fillId="3" borderId="1" xfId="0" applyNumberFormat="1" applyFont="1" applyFill="1" applyBorder="1"/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8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zoomScaleNormal="100" workbookViewId="0">
      <pane ySplit="4" topLeftCell="A5" activePane="bottomLeft" state="frozen"/>
      <selection pane="bottomLeft" activeCell="C8" sqref="C8"/>
    </sheetView>
  </sheetViews>
  <sheetFormatPr defaultColWidth="8.6328125" defaultRowHeight="14.5" x14ac:dyDescent="0.35"/>
  <cols>
    <col min="1" max="1" width="5" customWidth="1"/>
    <col min="2" max="2" width="20" customWidth="1"/>
    <col min="3" max="3" width="68" customWidth="1"/>
    <col min="4" max="4" width="16" customWidth="1"/>
    <col min="5" max="6" width="11" customWidth="1"/>
    <col min="7" max="7" width="9" customWidth="1"/>
    <col min="8" max="8" width="6" customWidth="1"/>
    <col min="9" max="17" width="5.54296875" customWidth="1"/>
  </cols>
  <sheetData>
    <row r="1" spans="1:17" ht="17.399999999999999" customHeight="1" x14ac:dyDescent="0.4">
      <c r="A1" s="1" t="s">
        <v>0</v>
      </c>
    </row>
    <row r="2" spans="1:17" ht="15" customHeight="1" x14ac:dyDescent="0.35">
      <c r="A2" s="2" t="s">
        <v>72</v>
      </c>
    </row>
    <row r="4" spans="1:17" ht="15" customHeight="1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4">
        <v>46188</v>
      </c>
      <c r="J4" s="4">
        <v>46195</v>
      </c>
      <c r="K4" s="4">
        <v>46202</v>
      </c>
      <c r="L4" s="4">
        <v>46209</v>
      </c>
      <c r="M4" s="4">
        <v>46216</v>
      </c>
      <c r="N4" s="4">
        <v>46223</v>
      </c>
      <c r="O4" s="4">
        <v>46230</v>
      </c>
      <c r="P4" s="4">
        <v>46237</v>
      </c>
      <c r="Q4" s="4">
        <v>46244</v>
      </c>
    </row>
    <row r="5" spans="1:17" ht="15" customHeight="1" x14ac:dyDescent="0.35">
      <c r="A5" s="5" t="s">
        <v>9</v>
      </c>
      <c r="B5" s="5" t="s">
        <v>10</v>
      </c>
      <c r="C5" s="5" t="s">
        <v>11</v>
      </c>
      <c r="D5" s="5" t="s">
        <v>12</v>
      </c>
      <c r="E5" s="6">
        <v>46188</v>
      </c>
      <c r="F5" s="6">
        <v>46188</v>
      </c>
      <c r="G5" s="7">
        <f t="shared" ref="G5:G27" si="0">NETWORKDAYS(E5,F5)</f>
        <v>1</v>
      </c>
      <c r="H5" s="8"/>
      <c r="I5" s="9" t="str">
        <f t="shared" ref="I5:Q7" si="1">IF(AND(I$4&lt;=$F5,(I$4+6)&gt;=$E5),"█","")</f>
        <v>█</v>
      </c>
      <c r="J5" s="9" t="str">
        <f t="shared" si="1"/>
        <v/>
      </c>
      <c r="K5" s="9" t="str">
        <f t="shared" si="1"/>
        <v/>
      </c>
      <c r="L5" s="9" t="str">
        <f t="shared" si="1"/>
        <v/>
      </c>
      <c r="M5" s="9" t="str">
        <f t="shared" si="1"/>
        <v/>
      </c>
      <c r="N5" s="9" t="str">
        <f t="shared" si="1"/>
        <v/>
      </c>
      <c r="O5" s="9" t="str">
        <f t="shared" si="1"/>
        <v/>
      </c>
      <c r="P5" s="9" t="str">
        <f t="shared" si="1"/>
        <v/>
      </c>
      <c r="Q5" s="9" t="str">
        <f t="shared" si="1"/>
        <v/>
      </c>
    </row>
    <row r="6" spans="1:17" ht="15" customHeight="1" x14ac:dyDescent="0.35">
      <c r="A6" s="5" t="s">
        <v>13</v>
      </c>
      <c r="B6" s="5" t="s">
        <v>10</v>
      </c>
      <c r="C6" s="5" t="s">
        <v>14</v>
      </c>
      <c r="D6" s="5" t="s">
        <v>15</v>
      </c>
      <c r="E6" s="6">
        <v>46188</v>
      </c>
      <c r="F6" s="6">
        <v>46191</v>
      </c>
      <c r="G6" s="7">
        <f t="shared" si="0"/>
        <v>4</v>
      </c>
      <c r="H6" s="8"/>
      <c r="I6" s="9" t="str">
        <f t="shared" si="1"/>
        <v>█</v>
      </c>
      <c r="J6" s="9" t="str">
        <f t="shared" si="1"/>
        <v/>
      </c>
      <c r="K6" s="9" t="str">
        <f t="shared" si="1"/>
        <v/>
      </c>
      <c r="L6" s="9" t="str">
        <f t="shared" si="1"/>
        <v/>
      </c>
      <c r="M6" s="9" t="str">
        <f t="shared" si="1"/>
        <v/>
      </c>
      <c r="N6" s="9" t="str">
        <f t="shared" si="1"/>
        <v/>
      </c>
      <c r="O6" s="9" t="str">
        <f t="shared" si="1"/>
        <v/>
      </c>
      <c r="P6" s="9" t="str">
        <f t="shared" si="1"/>
        <v/>
      </c>
      <c r="Q6" s="9" t="str">
        <f t="shared" si="1"/>
        <v/>
      </c>
    </row>
    <row r="7" spans="1:17" ht="15" customHeight="1" x14ac:dyDescent="0.35">
      <c r="A7" s="5" t="s">
        <v>16</v>
      </c>
      <c r="B7" s="5" t="s">
        <v>10</v>
      </c>
      <c r="C7" s="5" t="s">
        <v>17</v>
      </c>
      <c r="D7" s="5" t="s">
        <v>18</v>
      </c>
      <c r="E7" s="6">
        <v>46189</v>
      </c>
      <c r="F7" s="6">
        <v>46192</v>
      </c>
      <c r="G7" s="7">
        <f t="shared" si="0"/>
        <v>4</v>
      </c>
      <c r="H7" s="8"/>
      <c r="I7" s="9" t="str">
        <f t="shared" si="1"/>
        <v>█</v>
      </c>
      <c r="J7" s="9" t="str">
        <f t="shared" si="1"/>
        <v/>
      </c>
      <c r="K7" s="9" t="str">
        <f t="shared" si="1"/>
        <v/>
      </c>
      <c r="L7" s="9" t="str">
        <f t="shared" si="1"/>
        <v/>
      </c>
      <c r="M7" s="9" t="str">
        <f t="shared" si="1"/>
        <v/>
      </c>
      <c r="N7" s="9" t="str">
        <f t="shared" si="1"/>
        <v/>
      </c>
      <c r="O7" s="9" t="str">
        <f t="shared" si="1"/>
        <v/>
      </c>
      <c r="P7" s="9" t="str">
        <f t="shared" si="1"/>
        <v/>
      </c>
      <c r="Q7" s="9" t="str">
        <f t="shared" si="1"/>
        <v/>
      </c>
    </row>
    <row r="8" spans="1:17" ht="15" customHeight="1" x14ac:dyDescent="0.35">
      <c r="A8" s="10" t="s">
        <v>19</v>
      </c>
      <c r="B8" s="10" t="s">
        <v>10</v>
      </c>
      <c r="C8" s="10" t="s">
        <v>20</v>
      </c>
      <c r="D8" s="10" t="s">
        <v>15</v>
      </c>
      <c r="E8" s="11">
        <v>46192</v>
      </c>
      <c r="F8" s="11">
        <v>46192</v>
      </c>
      <c r="G8" s="12">
        <f t="shared" si="0"/>
        <v>1</v>
      </c>
      <c r="H8" s="13" t="s">
        <v>21</v>
      </c>
      <c r="I8" s="14" t="str">
        <f t="shared" ref="I8:Q8" si="2">IF(AND(I$4&lt;=$F8,(I$4+6)&gt;=$E8),"◆","")</f>
        <v>◆</v>
      </c>
      <c r="J8" s="14" t="str">
        <f t="shared" si="2"/>
        <v/>
      </c>
      <c r="K8" s="14" t="str">
        <f t="shared" si="2"/>
        <v/>
      </c>
      <c r="L8" s="14" t="str">
        <f t="shared" si="2"/>
        <v/>
      </c>
      <c r="M8" s="14" t="str">
        <f t="shared" si="2"/>
        <v/>
      </c>
      <c r="N8" s="14" t="str">
        <f t="shared" si="2"/>
        <v/>
      </c>
      <c r="O8" s="14" t="str">
        <f t="shared" si="2"/>
        <v/>
      </c>
      <c r="P8" s="14" t="str">
        <f t="shared" si="2"/>
        <v/>
      </c>
      <c r="Q8" s="14" t="str">
        <f t="shared" si="2"/>
        <v/>
      </c>
    </row>
    <row r="9" spans="1:17" ht="15" customHeight="1" x14ac:dyDescent="0.35">
      <c r="A9" s="5" t="s">
        <v>22</v>
      </c>
      <c r="B9" s="5" t="s">
        <v>23</v>
      </c>
      <c r="C9" s="5" t="s">
        <v>67</v>
      </c>
      <c r="D9" s="5" t="s">
        <v>18</v>
      </c>
      <c r="E9" s="6">
        <v>46195</v>
      </c>
      <c r="F9" s="6">
        <v>46199</v>
      </c>
      <c r="G9" s="7">
        <f t="shared" si="0"/>
        <v>5</v>
      </c>
      <c r="H9" s="8"/>
      <c r="I9" s="15" t="str">
        <f t="shared" ref="I9:Q12" si="3">IF(AND(I$4&lt;=$F9,(I$4+6)&gt;=$E9),"█","")</f>
        <v/>
      </c>
      <c r="J9" s="15" t="str">
        <f t="shared" si="3"/>
        <v>█</v>
      </c>
      <c r="K9" s="15" t="str">
        <f t="shared" si="3"/>
        <v/>
      </c>
      <c r="L9" s="15" t="str">
        <f t="shared" si="3"/>
        <v/>
      </c>
      <c r="M9" s="15" t="str">
        <f t="shared" si="3"/>
        <v/>
      </c>
      <c r="N9" s="15" t="str">
        <f t="shared" si="3"/>
        <v/>
      </c>
      <c r="O9" s="15" t="str">
        <f t="shared" si="3"/>
        <v/>
      </c>
      <c r="P9" s="15" t="str">
        <f t="shared" si="3"/>
        <v/>
      </c>
      <c r="Q9" s="15" t="str">
        <f t="shared" si="3"/>
        <v/>
      </c>
    </row>
    <row r="10" spans="1:17" ht="15" customHeight="1" x14ac:dyDescent="0.35">
      <c r="A10" s="5" t="s">
        <v>24</v>
      </c>
      <c r="B10" s="5" t="s">
        <v>23</v>
      </c>
      <c r="C10" s="5" t="s">
        <v>68</v>
      </c>
      <c r="D10" s="5" t="s">
        <v>15</v>
      </c>
      <c r="E10" s="6">
        <v>46198</v>
      </c>
      <c r="F10" s="6">
        <v>46199</v>
      </c>
      <c r="G10" s="7">
        <f t="shared" si="0"/>
        <v>2</v>
      </c>
      <c r="H10" s="8"/>
      <c r="I10" s="15" t="str">
        <f t="shared" si="3"/>
        <v/>
      </c>
      <c r="J10" s="15" t="str">
        <f t="shared" si="3"/>
        <v>█</v>
      </c>
      <c r="K10" s="15" t="str">
        <f t="shared" si="3"/>
        <v/>
      </c>
      <c r="L10" s="15" t="str">
        <f t="shared" si="3"/>
        <v/>
      </c>
      <c r="M10" s="15" t="str">
        <f t="shared" si="3"/>
        <v/>
      </c>
      <c r="N10" s="15" t="str">
        <f t="shared" si="3"/>
        <v/>
      </c>
      <c r="O10" s="15" t="str">
        <f t="shared" si="3"/>
        <v/>
      </c>
      <c r="P10" s="15" t="str">
        <f t="shared" si="3"/>
        <v/>
      </c>
      <c r="Q10" s="15" t="str">
        <f t="shared" si="3"/>
        <v/>
      </c>
    </row>
    <row r="11" spans="1:17" ht="15" customHeight="1" x14ac:dyDescent="0.35">
      <c r="A11" s="5" t="s">
        <v>25</v>
      </c>
      <c r="B11" s="5" t="s">
        <v>23</v>
      </c>
      <c r="C11" s="5" t="s">
        <v>69</v>
      </c>
      <c r="D11" s="5" t="s">
        <v>12</v>
      </c>
      <c r="E11" s="6">
        <v>46202</v>
      </c>
      <c r="F11" s="6">
        <v>46202</v>
      </c>
      <c r="G11" s="7">
        <f t="shared" si="0"/>
        <v>1</v>
      </c>
      <c r="H11" s="8"/>
      <c r="I11" s="15" t="str">
        <f t="shared" si="3"/>
        <v/>
      </c>
      <c r="J11" s="15" t="str">
        <f t="shared" si="3"/>
        <v/>
      </c>
      <c r="K11" s="15" t="str">
        <f t="shared" si="3"/>
        <v>█</v>
      </c>
      <c r="L11" s="15" t="str">
        <f t="shared" si="3"/>
        <v/>
      </c>
      <c r="M11" s="15" t="str">
        <f t="shared" si="3"/>
        <v/>
      </c>
      <c r="N11" s="15" t="str">
        <f t="shared" si="3"/>
        <v/>
      </c>
      <c r="O11" s="15" t="str">
        <f t="shared" si="3"/>
        <v/>
      </c>
      <c r="P11" s="15" t="str">
        <f t="shared" si="3"/>
        <v/>
      </c>
      <c r="Q11" s="15" t="str">
        <f t="shared" si="3"/>
        <v/>
      </c>
    </row>
    <row r="12" spans="1:17" ht="15" customHeight="1" x14ac:dyDescent="0.35">
      <c r="A12" s="5" t="s">
        <v>26</v>
      </c>
      <c r="B12" s="5" t="s">
        <v>23</v>
      </c>
      <c r="C12" s="5" t="s">
        <v>27</v>
      </c>
      <c r="D12" s="5" t="s">
        <v>18</v>
      </c>
      <c r="E12" s="6">
        <v>46203</v>
      </c>
      <c r="F12" s="6">
        <v>46205</v>
      </c>
      <c r="G12" s="7">
        <f t="shared" si="0"/>
        <v>3</v>
      </c>
      <c r="H12" s="8"/>
      <c r="I12" s="15" t="str">
        <f t="shared" si="3"/>
        <v/>
      </c>
      <c r="J12" s="15" t="str">
        <f t="shared" si="3"/>
        <v/>
      </c>
      <c r="K12" s="15" t="str">
        <f t="shared" si="3"/>
        <v>█</v>
      </c>
      <c r="L12" s="15" t="str">
        <f t="shared" si="3"/>
        <v/>
      </c>
      <c r="M12" s="15" t="str">
        <f t="shared" si="3"/>
        <v/>
      </c>
      <c r="N12" s="15" t="str">
        <f t="shared" si="3"/>
        <v/>
      </c>
      <c r="O12" s="15" t="str">
        <f t="shared" si="3"/>
        <v/>
      </c>
      <c r="P12" s="15" t="str">
        <f t="shared" si="3"/>
        <v/>
      </c>
      <c r="Q12" s="15" t="str">
        <f t="shared" si="3"/>
        <v/>
      </c>
    </row>
    <row r="13" spans="1:17" ht="15" customHeight="1" x14ac:dyDescent="0.35">
      <c r="A13" s="10" t="s">
        <v>28</v>
      </c>
      <c r="B13" s="10" t="s">
        <v>23</v>
      </c>
      <c r="C13" s="10" t="s">
        <v>29</v>
      </c>
      <c r="D13" s="10" t="s">
        <v>30</v>
      </c>
      <c r="E13" s="11">
        <v>46205</v>
      </c>
      <c r="F13" s="11">
        <v>46205</v>
      </c>
      <c r="G13" s="12">
        <f t="shared" si="0"/>
        <v>1</v>
      </c>
      <c r="H13" s="13" t="s">
        <v>21</v>
      </c>
      <c r="I13" s="16" t="str">
        <f t="shared" ref="I13:Q13" si="4">IF(AND(I$4&lt;=$F13,(I$4+6)&gt;=$E13),"◆","")</f>
        <v/>
      </c>
      <c r="J13" s="16" t="str">
        <f t="shared" si="4"/>
        <v/>
      </c>
      <c r="K13" s="16" t="str">
        <f t="shared" si="4"/>
        <v>◆</v>
      </c>
      <c r="L13" s="16" t="str">
        <f t="shared" si="4"/>
        <v/>
      </c>
      <c r="M13" s="16" t="str">
        <f t="shared" si="4"/>
        <v/>
      </c>
      <c r="N13" s="16" t="str">
        <f t="shared" si="4"/>
        <v/>
      </c>
      <c r="O13" s="16" t="str">
        <f t="shared" si="4"/>
        <v/>
      </c>
      <c r="P13" s="16" t="str">
        <f t="shared" si="4"/>
        <v/>
      </c>
      <c r="Q13" s="16" t="str">
        <f t="shared" si="4"/>
        <v/>
      </c>
    </row>
    <row r="14" spans="1:17" ht="15" customHeight="1" x14ac:dyDescent="0.35">
      <c r="A14" s="5" t="s">
        <v>31</v>
      </c>
      <c r="B14" s="5" t="s">
        <v>32</v>
      </c>
      <c r="C14" s="5" t="s">
        <v>33</v>
      </c>
      <c r="D14" s="5" t="s">
        <v>71</v>
      </c>
      <c r="E14" s="6">
        <v>46209</v>
      </c>
      <c r="F14" s="6">
        <v>46211</v>
      </c>
      <c r="G14" s="7">
        <f t="shared" si="0"/>
        <v>3</v>
      </c>
      <c r="H14" s="8"/>
      <c r="I14" s="17" t="str">
        <f t="shared" ref="I14:Q17" si="5">IF(AND(I$4&lt;=$F14,(I$4+6)&gt;=$E14),"█","")</f>
        <v/>
      </c>
      <c r="J14" s="17" t="str">
        <f t="shared" si="5"/>
        <v/>
      </c>
      <c r="K14" s="17" t="str">
        <f t="shared" si="5"/>
        <v/>
      </c>
      <c r="L14" s="17" t="str">
        <f t="shared" si="5"/>
        <v>█</v>
      </c>
      <c r="M14" s="17" t="str">
        <f t="shared" si="5"/>
        <v/>
      </c>
      <c r="N14" s="17" t="str">
        <f t="shared" si="5"/>
        <v/>
      </c>
      <c r="O14" s="17" t="str">
        <f t="shared" si="5"/>
        <v/>
      </c>
      <c r="P14" s="17" t="str">
        <f t="shared" si="5"/>
        <v/>
      </c>
      <c r="Q14" s="17" t="str">
        <f t="shared" si="5"/>
        <v/>
      </c>
    </row>
    <row r="15" spans="1:17" ht="15" customHeight="1" x14ac:dyDescent="0.35">
      <c r="A15" s="5" t="s">
        <v>34</v>
      </c>
      <c r="B15" s="5" t="s">
        <v>32</v>
      </c>
      <c r="C15" s="5" t="s">
        <v>70</v>
      </c>
      <c r="D15" s="5" t="s">
        <v>18</v>
      </c>
      <c r="E15" s="6">
        <v>46211</v>
      </c>
      <c r="F15" s="6">
        <v>46217</v>
      </c>
      <c r="G15" s="7">
        <f t="shared" si="0"/>
        <v>5</v>
      </c>
      <c r="H15" s="8"/>
      <c r="I15" s="17" t="str">
        <f t="shared" si="5"/>
        <v/>
      </c>
      <c r="J15" s="17" t="str">
        <f t="shared" si="5"/>
        <v/>
      </c>
      <c r="K15" s="17" t="str">
        <f t="shared" si="5"/>
        <v/>
      </c>
      <c r="L15" s="17" t="str">
        <f t="shared" si="5"/>
        <v>█</v>
      </c>
      <c r="M15" s="17" t="str">
        <f t="shared" si="5"/>
        <v>█</v>
      </c>
      <c r="N15" s="17" t="str">
        <f t="shared" si="5"/>
        <v/>
      </c>
      <c r="O15" s="17" t="str">
        <f t="shared" si="5"/>
        <v/>
      </c>
      <c r="P15" s="17" t="str">
        <f t="shared" si="5"/>
        <v/>
      </c>
      <c r="Q15" s="17" t="str">
        <f t="shared" si="5"/>
        <v/>
      </c>
    </row>
    <row r="16" spans="1:17" ht="15" customHeight="1" x14ac:dyDescent="0.35">
      <c r="A16" s="5" t="s">
        <v>35</v>
      </c>
      <c r="B16" s="5" t="s">
        <v>32</v>
      </c>
      <c r="C16" s="5" t="s">
        <v>36</v>
      </c>
      <c r="D16" s="5" t="s">
        <v>71</v>
      </c>
      <c r="E16" s="6">
        <v>46216</v>
      </c>
      <c r="F16" s="6">
        <v>46219</v>
      </c>
      <c r="G16" s="7">
        <f t="shared" si="0"/>
        <v>4</v>
      </c>
      <c r="H16" s="8"/>
      <c r="I16" s="17" t="str">
        <f t="shared" si="5"/>
        <v/>
      </c>
      <c r="J16" s="17" t="str">
        <f t="shared" si="5"/>
        <v/>
      </c>
      <c r="K16" s="17" t="str">
        <f t="shared" si="5"/>
        <v/>
      </c>
      <c r="L16" s="17" t="str">
        <f t="shared" si="5"/>
        <v/>
      </c>
      <c r="M16" s="17" t="str">
        <f t="shared" si="5"/>
        <v>█</v>
      </c>
      <c r="N16" s="17" t="str">
        <f t="shared" si="5"/>
        <v/>
      </c>
      <c r="O16" s="17" t="str">
        <f t="shared" si="5"/>
        <v/>
      </c>
      <c r="P16" s="17" t="str">
        <f t="shared" si="5"/>
        <v/>
      </c>
      <c r="Q16" s="17" t="str">
        <f t="shared" si="5"/>
        <v/>
      </c>
    </row>
    <row r="17" spans="1:17" ht="15" customHeight="1" x14ac:dyDescent="0.35">
      <c r="A17" s="5" t="s">
        <v>37</v>
      </c>
      <c r="B17" s="5" t="s">
        <v>32</v>
      </c>
      <c r="C17" s="5" t="s">
        <v>38</v>
      </c>
      <c r="D17" s="5" t="s">
        <v>18</v>
      </c>
      <c r="E17" s="6">
        <v>46217</v>
      </c>
      <c r="F17" s="6">
        <v>46220</v>
      </c>
      <c r="G17" s="7">
        <f t="shared" si="0"/>
        <v>4</v>
      </c>
      <c r="H17" s="8"/>
      <c r="I17" s="17" t="str">
        <f t="shared" si="5"/>
        <v/>
      </c>
      <c r="J17" s="17" t="str">
        <f t="shared" si="5"/>
        <v/>
      </c>
      <c r="K17" s="17" t="str">
        <f t="shared" si="5"/>
        <v/>
      </c>
      <c r="L17" s="17" t="str">
        <f t="shared" si="5"/>
        <v/>
      </c>
      <c r="M17" s="17" t="str">
        <f t="shared" si="5"/>
        <v>█</v>
      </c>
      <c r="N17" s="17" t="str">
        <f t="shared" si="5"/>
        <v/>
      </c>
      <c r="O17" s="17" t="str">
        <f t="shared" si="5"/>
        <v/>
      </c>
      <c r="P17" s="17" t="str">
        <f t="shared" si="5"/>
        <v/>
      </c>
      <c r="Q17" s="17" t="str">
        <f t="shared" si="5"/>
        <v/>
      </c>
    </row>
    <row r="18" spans="1:17" ht="15" customHeight="1" x14ac:dyDescent="0.35">
      <c r="A18" s="10" t="s">
        <v>39</v>
      </c>
      <c r="B18" s="10" t="s">
        <v>32</v>
      </c>
      <c r="C18" s="10" t="s">
        <v>40</v>
      </c>
      <c r="D18" s="10" t="s">
        <v>15</v>
      </c>
      <c r="E18" s="11">
        <v>46220</v>
      </c>
      <c r="F18" s="11">
        <v>46220</v>
      </c>
      <c r="G18" s="12">
        <f t="shared" si="0"/>
        <v>1</v>
      </c>
      <c r="H18" s="13" t="s">
        <v>21</v>
      </c>
      <c r="I18" s="18" t="str">
        <f t="shared" ref="I18:Q18" si="6">IF(AND(I$4&lt;=$F18,(I$4+6)&gt;=$E18),"◆","")</f>
        <v/>
      </c>
      <c r="J18" s="18" t="str">
        <f t="shared" si="6"/>
        <v/>
      </c>
      <c r="K18" s="18" t="str">
        <f t="shared" si="6"/>
        <v/>
      </c>
      <c r="L18" s="18" t="str">
        <f t="shared" si="6"/>
        <v/>
      </c>
      <c r="M18" s="18" t="str">
        <f t="shared" si="6"/>
        <v>◆</v>
      </c>
      <c r="N18" s="18" t="str">
        <f t="shared" si="6"/>
        <v/>
      </c>
      <c r="O18" s="18" t="str">
        <f t="shared" si="6"/>
        <v/>
      </c>
      <c r="P18" s="18" t="str">
        <f t="shared" si="6"/>
        <v/>
      </c>
      <c r="Q18" s="18" t="str">
        <f t="shared" si="6"/>
        <v/>
      </c>
    </row>
    <row r="19" spans="1:17" ht="15" customHeight="1" x14ac:dyDescent="0.35">
      <c r="A19" s="5" t="s">
        <v>41</v>
      </c>
      <c r="B19" s="5" t="s">
        <v>42</v>
      </c>
      <c r="C19" s="5" t="s">
        <v>43</v>
      </c>
      <c r="D19" s="5" t="s">
        <v>18</v>
      </c>
      <c r="E19" s="6">
        <v>46223</v>
      </c>
      <c r="F19" s="6">
        <v>46231</v>
      </c>
      <c r="G19" s="7">
        <f t="shared" si="0"/>
        <v>7</v>
      </c>
      <c r="H19" s="8"/>
      <c r="I19" s="19" t="str">
        <f t="shared" ref="I19:Q21" si="7">IF(AND(I$4&lt;=$F19,(I$4+6)&gt;=$E19),"█","")</f>
        <v/>
      </c>
      <c r="J19" s="19" t="str">
        <f t="shared" si="7"/>
        <v/>
      </c>
      <c r="K19" s="19" t="str">
        <f t="shared" si="7"/>
        <v/>
      </c>
      <c r="L19" s="19" t="str">
        <f t="shared" si="7"/>
        <v/>
      </c>
      <c r="M19" s="19" t="str">
        <f t="shared" si="7"/>
        <v/>
      </c>
      <c r="N19" s="19" t="str">
        <f t="shared" si="7"/>
        <v>█</v>
      </c>
      <c r="O19" s="19" t="str">
        <f t="shared" si="7"/>
        <v>█</v>
      </c>
      <c r="P19" s="19" t="str">
        <f t="shared" si="7"/>
        <v/>
      </c>
      <c r="Q19" s="19" t="str">
        <f t="shared" si="7"/>
        <v/>
      </c>
    </row>
    <row r="20" spans="1:17" ht="15" customHeight="1" x14ac:dyDescent="0.35">
      <c r="A20" s="5" t="s">
        <v>44</v>
      </c>
      <c r="B20" s="5" t="s">
        <v>42</v>
      </c>
      <c r="C20" s="5" t="s">
        <v>45</v>
      </c>
      <c r="D20" s="5" t="s">
        <v>18</v>
      </c>
      <c r="E20" s="6">
        <v>46230</v>
      </c>
      <c r="F20" s="6">
        <v>46232</v>
      </c>
      <c r="G20" s="7">
        <f t="shared" si="0"/>
        <v>3</v>
      </c>
      <c r="H20" s="8"/>
      <c r="I20" s="19" t="str">
        <f t="shared" si="7"/>
        <v/>
      </c>
      <c r="J20" s="19" t="str">
        <f t="shared" si="7"/>
        <v/>
      </c>
      <c r="K20" s="19" t="str">
        <f t="shared" si="7"/>
        <v/>
      </c>
      <c r="L20" s="19" t="str">
        <f t="shared" si="7"/>
        <v/>
      </c>
      <c r="M20" s="19" t="str">
        <f t="shared" si="7"/>
        <v/>
      </c>
      <c r="N20" s="19" t="str">
        <f t="shared" si="7"/>
        <v/>
      </c>
      <c r="O20" s="19" t="str">
        <f t="shared" si="7"/>
        <v>█</v>
      </c>
      <c r="P20" s="19" t="str">
        <f t="shared" si="7"/>
        <v/>
      </c>
      <c r="Q20" s="19" t="str">
        <f t="shared" si="7"/>
        <v/>
      </c>
    </row>
    <row r="21" spans="1:17" ht="15" customHeight="1" x14ac:dyDescent="0.35">
      <c r="A21" s="5" t="s">
        <v>46</v>
      </c>
      <c r="B21" s="5" t="s">
        <v>42</v>
      </c>
      <c r="C21" s="5" t="s">
        <v>47</v>
      </c>
      <c r="D21" s="5" t="s">
        <v>12</v>
      </c>
      <c r="E21" s="6">
        <v>46232</v>
      </c>
      <c r="F21" s="6">
        <v>46234</v>
      </c>
      <c r="G21" s="7">
        <f t="shared" si="0"/>
        <v>3</v>
      </c>
      <c r="H21" s="8"/>
      <c r="I21" s="19" t="str">
        <f t="shared" si="7"/>
        <v/>
      </c>
      <c r="J21" s="19" t="str">
        <f t="shared" si="7"/>
        <v/>
      </c>
      <c r="K21" s="19" t="str">
        <f t="shared" si="7"/>
        <v/>
      </c>
      <c r="L21" s="19" t="str">
        <f t="shared" si="7"/>
        <v/>
      </c>
      <c r="M21" s="19" t="str">
        <f t="shared" si="7"/>
        <v/>
      </c>
      <c r="N21" s="19" t="str">
        <f t="shared" si="7"/>
        <v/>
      </c>
      <c r="O21" s="19" t="str">
        <f t="shared" si="7"/>
        <v>█</v>
      </c>
      <c r="P21" s="19" t="str">
        <f t="shared" si="7"/>
        <v/>
      </c>
      <c r="Q21" s="19" t="str">
        <f t="shared" si="7"/>
        <v/>
      </c>
    </row>
    <row r="22" spans="1:17" ht="15" customHeight="1" x14ac:dyDescent="0.35">
      <c r="A22" s="10" t="s">
        <v>48</v>
      </c>
      <c r="B22" s="10" t="s">
        <v>42</v>
      </c>
      <c r="C22" s="10" t="s">
        <v>49</v>
      </c>
      <c r="D22" s="10" t="s">
        <v>30</v>
      </c>
      <c r="E22" s="11">
        <v>46234</v>
      </c>
      <c r="F22" s="11">
        <v>46234</v>
      </c>
      <c r="G22" s="12">
        <f t="shared" si="0"/>
        <v>1</v>
      </c>
      <c r="H22" s="13" t="s">
        <v>21</v>
      </c>
      <c r="I22" s="20" t="str">
        <f t="shared" ref="I22:Q22" si="8">IF(AND(I$4&lt;=$F22,(I$4+6)&gt;=$E22),"◆","")</f>
        <v/>
      </c>
      <c r="J22" s="20" t="str">
        <f t="shared" si="8"/>
        <v/>
      </c>
      <c r="K22" s="20" t="str">
        <f t="shared" si="8"/>
        <v/>
      </c>
      <c r="L22" s="20" t="str">
        <f t="shared" si="8"/>
        <v/>
      </c>
      <c r="M22" s="20" t="str">
        <f t="shared" si="8"/>
        <v/>
      </c>
      <c r="N22" s="20" t="str">
        <f t="shared" si="8"/>
        <v/>
      </c>
      <c r="O22" s="20" t="str">
        <f t="shared" si="8"/>
        <v>◆</v>
      </c>
      <c r="P22" s="20" t="str">
        <f t="shared" si="8"/>
        <v/>
      </c>
      <c r="Q22" s="20" t="str">
        <f t="shared" si="8"/>
        <v/>
      </c>
    </row>
    <row r="23" spans="1:17" ht="15" customHeight="1" x14ac:dyDescent="0.35">
      <c r="A23" s="5" t="s">
        <v>50</v>
      </c>
      <c r="B23" s="5" t="s">
        <v>51</v>
      </c>
      <c r="C23" s="5" t="s">
        <v>52</v>
      </c>
      <c r="D23" s="5" t="s">
        <v>18</v>
      </c>
      <c r="E23" s="6">
        <v>46237</v>
      </c>
      <c r="F23" s="6">
        <v>46240</v>
      </c>
      <c r="G23" s="7">
        <f t="shared" si="0"/>
        <v>4</v>
      </c>
      <c r="H23" s="8"/>
      <c r="I23" s="21" t="str">
        <f t="shared" ref="I23:Q26" si="9">IF(AND(I$4&lt;=$F23,(I$4+6)&gt;=$E23),"█","")</f>
        <v/>
      </c>
      <c r="J23" s="21" t="str">
        <f t="shared" si="9"/>
        <v/>
      </c>
      <c r="K23" s="21" t="str">
        <f t="shared" si="9"/>
        <v/>
      </c>
      <c r="L23" s="21" t="str">
        <f t="shared" si="9"/>
        <v/>
      </c>
      <c r="M23" s="21" t="str">
        <f t="shared" si="9"/>
        <v/>
      </c>
      <c r="N23" s="21" t="str">
        <f t="shared" si="9"/>
        <v/>
      </c>
      <c r="O23" s="21" t="str">
        <f t="shared" si="9"/>
        <v/>
      </c>
      <c r="P23" s="21" t="str">
        <f t="shared" si="9"/>
        <v>█</v>
      </c>
      <c r="Q23" s="21" t="str">
        <f t="shared" si="9"/>
        <v/>
      </c>
    </row>
    <row r="24" spans="1:17" ht="15" customHeight="1" x14ac:dyDescent="0.35">
      <c r="A24" s="5" t="s">
        <v>53</v>
      </c>
      <c r="B24" s="5" t="s">
        <v>51</v>
      </c>
      <c r="C24" s="5" t="s">
        <v>54</v>
      </c>
      <c r="D24" s="5" t="s">
        <v>15</v>
      </c>
      <c r="E24" s="6">
        <v>46239</v>
      </c>
      <c r="F24" s="6">
        <v>46245</v>
      </c>
      <c r="G24" s="7">
        <f t="shared" si="0"/>
        <v>5</v>
      </c>
      <c r="H24" s="8"/>
      <c r="I24" s="21" t="str">
        <f t="shared" si="9"/>
        <v/>
      </c>
      <c r="J24" s="21" t="str">
        <f t="shared" si="9"/>
        <v/>
      </c>
      <c r="K24" s="21" t="str">
        <f t="shared" si="9"/>
        <v/>
      </c>
      <c r="L24" s="21" t="str">
        <f t="shared" si="9"/>
        <v/>
      </c>
      <c r="M24" s="21" t="str">
        <f t="shared" si="9"/>
        <v/>
      </c>
      <c r="N24" s="21" t="str">
        <f t="shared" si="9"/>
        <v/>
      </c>
      <c r="O24" s="21" t="str">
        <f t="shared" si="9"/>
        <v/>
      </c>
      <c r="P24" s="21" t="str">
        <f t="shared" si="9"/>
        <v>█</v>
      </c>
      <c r="Q24" s="21" t="str">
        <f t="shared" si="9"/>
        <v>█</v>
      </c>
    </row>
    <row r="25" spans="1:17" ht="15" customHeight="1" x14ac:dyDescent="0.35">
      <c r="A25" s="5" t="s">
        <v>55</v>
      </c>
      <c r="B25" s="5" t="s">
        <v>51</v>
      </c>
      <c r="C25" s="5" t="s">
        <v>56</v>
      </c>
      <c r="D25" s="5" t="s">
        <v>18</v>
      </c>
      <c r="E25" s="6">
        <v>46244</v>
      </c>
      <c r="F25" s="6">
        <v>46247</v>
      </c>
      <c r="G25" s="7">
        <f t="shared" si="0"/>
        <v>4</v>
      </c>
      <c r="H25" s="8"/>
      <c r="I25" s="21" t="str">
        <f t="shared" si="9"/>
        <v/>
      </c>
      <c r="J25" s="21" t="str">
        <f t="shared" si="9"/>
        <v/>
      </c>
      <c r="K25" s="21" t="str">
        <f t="shared" si="9"/>
        <v/>
      </c>
      <c r="L25" s="21" t="str">
        <f t="shared" si="9"/>
        <v/>
      </c>
      <c r="M25" s="21" t="str">
        <f t="shared" si="9"/>
        <v/>
      </c>
      <c r="N25" s="21" t="str">
        <f t="shared" si="9"/>
        <v/>
      </c>
      <c r="O25" s="21" t="str">
        <f t="shared" si="9"/>
        <v/>
      </c>
      <c r="P25" s="21" t="str">
        <f t="shared" si="9"/>
        <v/>
      </c>
      <c r="Q25" s="21" t="str">
        <f t="shared" si="9"/>
        <v>█</v>
      </c>
    </row>
    <row r="26" spans="1:17" ht="15" customHeight="1" x14ac:dyDescent="0.35">
      <c r="A26" s="5" t="s">
        <v>57</v>
      </c>
      <c r="B26" s="5" t="s">
        <v>51</v>
      </c>
      <c r="C26" s="5" t="s">
        <v>58</v>
      </c>
      <c r="D26" s="5" t="s">
        <v>12</v>
      </c>
      <c r="E26" s="6">
        <v>46247</v>
      </c>
      <c r="F26" s="6">
        <v>46248</v>
      </c>
      <c r="G26" s="7">
        <f t="shared" si="0"/>
        <v>2</v>
      </c>
      <c r="H26" s="8"/>
      <c r="I26" s="21" t="str">
        <f t="shared" si="9"/>
        <v/>
      </c>
      <c r="J26" s="21" t="str">
        <f t="shared" si="9"/>
        <v/>
      </c>
      <c r="K26" s="21" t="str">
        <f t="shared" si="9"/>
        <v/>
      </c>
      <c r="L26" s="21" t="str">
        <f t="shared" si="9"/>
        <v/>
      </c>
      <c r="M26" s="21" t="str">
        <f t="shared" si="9"/>
        <v/>
      </c>
      <c r="N26" s="21" t="str">
        <f t="shared" si="9"/>
        <v/>
      </c>
      <c r="O26" s="21" t="str">
        <f t="shared" si="9"/>
        <v/>
      </c>
      <c r="P26" s="21" t="str">
        <f t="shared" si="9"/>
        <v/>
      </c>
      <c r="Q26" s="21" t="str">
        <f t="shared" si="9"/>
        <v>█</v>
      </c>
    </row>
    <row r="27" spans="1:17" ht="15" customHeight="1" x14ac:dyDescent="0.35">
      <c r="A27" s="10" t="s">
        <v>59</v>
      </c>
      <c r="B27" s="10" t="s">
        <v>51</v>
      </c>
      <c r="C27" s="10" t="s">
        <v>60</v>
      </c>
      <c r="D27" s="10" t="s">
        <v>30</v>
      </c>
      <c r="E27" s="11">
        <v>46248</v>
      </c>
      <c r="F27" s="11">
        <v>46248</v>
      </c>
      <c r="G27" s="12">
        <f t="shared" si="0"/>
        <v>1</v>
      </c>
      <c r="H27" s="13" t="s">
        <v>21</v>
      </c>
      <c r="I27" s="22" t="str">
        <f t="shared" ref="I27:Q27" si="10">IF(AND(I$4&lt;=$F27,(I$4+6)&gt;=$E27),"◆","")</f>
        <v/>
      </c>
      <c r="J27" s="22" t="str">
        <f t="shared" si="10"/>
        <v/>
      </c>
      <c r="K27" s="22" t="str">
        <f t="shared" si="10"/>
        <v/>
      </c>
      <c r="L27" s="22" t="str">
        <f t="shared" si="10"/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>◆</v>
      </c>
    </row>
    <row r="29" spans="1:17" ht="15" customHeight="1" x14ac:dyDescent="0.35">
      <c r="A29" s="23" t="s">
        <v>61</v>
      </c>
    </row>
    <row r="30" spans="1:17" ht="15" customHeight="1" x14ac:dyDescent="0.35">
      <c r="A30" s="24" t="s">
        <v>62</v>
      </c>
    </row>
    <row r="31" spans="1:17" ht="15" customHeight="1" x14ac:dyDescent="0.35">
      <c r="A31" s="24" t="s">
        <v>63</v>
      </c>
    </row>
    <row r="32" spans="1:17" ht="15" customHeight="1" x14ac:dyDescent="0.35">
      <c r="A32" s="24" t="s">
        <v>64</v>
      </c>
    </row>
    <row r="33" spans="1:1" ht="15" customHeight="1" x14ac:dyDescent="0.35">
      <c r="A33" s="24" t="s">
        <v>65</v>
      </c>
    </row>
    <row r="34" spans="1:1" ht="15" customHeight="1" x14ac:dyDescent="0.35">
      <c r="A34" s="24" t="s">
        <v>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Scott Camp</cp:lastModifiedBy>
  <cp:revision>0</cp:revision>
  <dcterms:created xsi:type="dcterms:W3CDTF">2026-06-12T01:09:39Z</dcterms:created>
  <dcterms:modified xsi:type="dcterms:W3CDTF">2026-06-15T02:23:15Z</dcterms:modified>
  <dc:language>en-US</dc:language>
</cp:coreProperties>
</file>